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Configuración" sheetId="2" state="visible" r:id="rId2"/>
    <sheet xmlns:r="http://schemas.openxmlformats.org/officeDocument/2006/relationships" name="Operación" sheetId="3" state="visible" r:id="rId3"/>
    <sheet xmlns:r="http://schemas.openxmlformats.org/officeDocument/2006/relationships" name="Ventas" sheetId="4" state="visible" r:id="rId4"/>
    <sheet xmlns:r="http://schemas.openxmlformats.org/officeDocument/2006/relationships" name="Comisiones" sheetId="5" state="visible" r:id="rId5"/>
    <sheet xmlns:r="http://schemas.openxmlformats.org/officeDocument/2006/relationships" name="Escenar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25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Calculadora Be Global Smart Agent</t>
        </is>
      </c>
      <c r="B1" s="1" t="inlineStr"/>
      <c r="C1" s="1" t="inlineStr"/>
    </row>
    <row r="2">
      <c r="A2" s="2" t="inlineStr">
        <is>
          <t>Aportación inicial mínima</t>
        </is>
      </c>
      <c r="B2" s="2" t="n">
        <v>35000</v>
      </c>
      <c r="C2" s="2" t="inlineStr">
        <is>
          <t>MXN</t>
        </is>
      </c>
    </row>
    <row r="3">
      <c r="A3" s="2" t="inlineStr">
        <is>
          <t>Setup estratégico adicional</t>
        </is>
      </c>
      <c r="B3" s="2" t="n">
        <v>75000</v>
      </c>
      <c r="C3" s="2" t="inlineStr">
        <is>
          <t>MXN, pago único</t>
        </is>
      </c>
    </row>
    <row r="4">
      <c r="A4" s="2" t="inlineStr">
        <is>
          <t>Costo implementación base</t>
        </is>
      </c>
      <c r="B4" s="2">
        <f>Configuración!B4*Configuración!B5+Configuración!B6+Configuración!B7+Configuración!B8</f>
        <v/>
      </c>
      <c r="C4" s="2" t="inlineStr">
        <is>
          <t>MXN</t>
        </is>
      </c>
    </row>
    <row r="5">
      <c r="A5" s="2" t="inlineStr">
        <is>
          <t>Gasto operativo mensual</t>
        </is>
      </c>
      <c r="B5" s="2">
        <f>SUM(Operación!B2:B7)</f>
        <v/>
      </c>
      <c r="C5" s="2" t="inlineStr">
        <is>
          <t>MXN</t>
        </is>
      </c>
    </row>
    <row r="6">
      <c r="A6" s="2" t="inlineStr">
        <is>
          <t>Utilidad neta por venta</t>
        </is>
      </c>
      <c r="B6" s="2">
        <f>Ventas!B2-Ventas!B3-(Ventas!B2*Ventas!B4)-Ventas!B5-Ventas!B6-(Ventas!B2*Ventas!B7)</f>
        <v/>
      </c>
      <c r="C6" s="2" t="inlineStr">
        <is>
          <t>MXN</t>
        </is>
      </c>
    </row>
    <row r="7">
      <c r="A7" s="2" t="inlineStr">
        <is>
          <t>Comisión Allan/Be Global por venta</t>
        </is>
      </c>
      <c r="B7" s="2">
        <f>MAX(0,B6*Comisiones!B2)</f>
        <v/>
      </c>
      <c r="C7" s="2" t="inlineStr">
        <is>
          <t>MXN</t>
        </is>
      </c>
    </row>
    <row r="8">
      <c r="A8" s="2" t="inlineStr">
        <is>
          <t>Utilidad mensual estimada</t>
        </is>
      </c>
      <c r="B8" s="2">
        <f>B6*Ventas!B8+Ventas!B9-B5</f>
        <v/>
      </c>
      <c r="C8" s="2" t="inlineStr">
        <is>
          <t>MXN</t>
        </is>
      </c>
    </row>
    <row r="9">
      <c r="A9" s="2" t="inlineStr">
        <is>
          <t>Ventas para cubrir operación</t>
        </is>
      </c>
      <c r="B9" s="2">
        <f>ROUNDUP(B5/B6,0)</f>
        <v/>
      </c>
      <c r="C9" s="2" t="inlineStr">
        <is>
          <t>ventas</t>
        </is>
      </c>
    </row>
    <row r="10">
      <c r="A10" s="2" t="inlineStr">
        <is>
          <t>Meses para recuperar implementación</t>
        </is>
      </c>
      <c r="B10" s="2">
        <f>IF(B8&gt;0,B4/B8,"No rentable")</f>
        <v/>
      </c>
      <c r="C10" s="2" t="inlineStr">
        <is>
          <t>meses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Concepto</t>
        </is>
      </c>
      <c r="B1" s="1" t="inlineStr">
        <is>
          <t>Valor</t>
        </is>
      </c>
      <c r="C1" s="1" t="inlineStr">
        <is>
          <t>Notas</t>
        </is>
      </c>
    </row>
    <row r="2">
      <c r="A2" s="2" t="inlineStr">
        <is>
          <t>Aportación inicial</t>
        </is>
      </c>
      <c r="B2" s="2" t="n">
        <v>35000</v>
      </c>
      <c r="C2" s="2" t="inlineStr">
        <is>
          <t>Desde $35,000 MXN</t>
        </is>
      </c>
    </row>
    <row r="3">
      <c r="A3" s="2" t="inlineStr">
        <is>
          <t>Comisión sugerida</t>
        </is>
      </c>
      <c r="B3" s="2" t="n">
        <v>0.1</v>
      </c>
      <c r="C3" s="2" t="inlineStr">
        <is>
          <t>Base: 10%; crecimiento 15%; plus 20%; premium 25%</t>
        </is>
      </c>
    </row>
    <row r="4">
      <c r="A4" s="2" t="inlineStr">
        <is>
          <t>Horas internas</t>
        </is>
      </c>
      <c r="B4" s="2" t="n">
        <v>60</v>
      </c>
      <c r="C4" s="2" t="inlineStr">
        <is>
          <t>Editable</t>
        </is>
      </c>
    </row>
    <row r="5">
      <c r="A5" s="2" t="inlineStr">
        <is>
          <t>Costo hora interno</t>
        </is>
      </c>
      <c r="B5" s="2" t="n">
        <v>350</v>
      </c>
      <c r="C5" s="2" t="inlineStr">
        <is>
          <t>Editable</t>
        </is>
      </c>
    </row>
    <row r="6">
      <c r="A6" s="2" t="inlineStr">
        <is>
          <t>Integraciones</t>
        </is>
      </c>
      <c r="B6" s="2" t="n">
        <v>5000</v>
      </c>
      <c r="C6" s="2" t="inlineStr">
        <is>
          <t>Editable</t>
        </is>
      </c>
    </row>
    <row r="7">
      <c r="A7" s="2" t="inlineStr">
        <is>
          <t>QA / capacitación</t>
        </is>
      </c>
      <c r="B7" s="2" t="n">
        <v>4000</v>
      </c>
      <c r="C7" s="2" t="inlineStr">
        <is>
          <t>Editable</t>
        </is>
      </c>
    </row>
    <row r="8">
      <c r="A8" s="2" t="inlineStr">
        <is>
          <t>Setup estratégico adicional</t>
        </is>
      </c>
      <c r="B8" s="2" t="n">
        <v>75000</v>
      </c>
      <c r="C8" s="2" t="inlineStr">
        <is>
          <t>Pago único; no gasto mensual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Concepto</t>
        </is>
      </c>
      <c r="B1" s="1" t="inlineStr">
        <is>
          <t>Valor MXN</t>
        </is>
      </c>
      <c r="C1" s="1" t="inlineStr">
        <is>
          <t>Notas</t>
        </is>
      </c>
    </row>
    <row r="2">
      <c r="A2" s="2" t="inlineStr">
        <is>
          <t>IA / tokens</t>
        </is>
      </c>
      <c r="B2" s="2" t="n">
        <v>2500</v>
      </c>
      <c r="C2" s="2" t="inlineStr">
        <is>
          <t>Editable</t>
        </is>
      </c>
    </row>
    <row r="3">
      <c r="A3" s="2" t="inlineStr">
        <is>
          <t>Hosting / herramientas</t>
        </is>
      </c>
      <c r="B3" s="2" t="n">
        <v>1800</v>
      </c>
      <c r="C3" s="2" t="inlineStr">
        <is>
          <t>Editable</t>
        </is>
      </c>
    </row>
    <row r="4">
      <c r="A4" s="2" t="inlineStr">
        <is>
          <t>WhatsApp / CRM / Apps</t>
        </is>
      </c>
      <c r="B4" s="2" t="n">
        <v>2500</v>
      </c>
      <c r="C4" s="2" t="inlineStr">
        <is>
          <t>Editable</t>
        </is>
      </c>
    </row>
    <row r="5">
      <c r="A5" s="2" t="inlineStr">
        <is>
          <t>Soporte humano</t>
        </is>
      </c>
      <c r="B5" s="2" t="n">
        <v>8000</v>
      </c>
      <c r="C5" s="2" t="inlineStr">
        <is>
          <t>Editable</t>
        </is>
      </c>
    </row>
    <row r="6">
      <c r="A6" s="2" t="inlineStr">
        <is>
          <t>Salario ingenieros</t>
        </is>
      </c>
      <c r="B6" s="2" t="n">
        <v>25000</v>
      </c>
      <c r="C6" s="2" t="inlineStr">
        <is>
          <t>Editable</t>
        </is>
      </c>
    </row>
    <row r="7">
      <c r="A7" s="2" t="inlineStr">
        <is>
          <t>Salario mercadólogos</t>
        </is>
      </c>
      <c r="B7" s="2" t="n">
        <v>18000</v>
      </c>
      <c r="C7" s="2" t="inlineStr">
        <is>
          <t>Editable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Concepto</t>
        </is>
      </c>
      <c r="B1" s="1" t="inlineStr">
        <is>
          <t>Valor</t>
        </is>
      </c>
      <c r="C1" s="1" t="inlineStr">
        <is>
          <t>Notas</t>
        </is>
      </c>
    </row>
    <row r="2">
      <c r="A2" s="2" t="inlineStr">
        <is>
          <t>Precio venta</t>
        </is>
      </c>
      <c r="B2" s="2" t="n">
        <v>2500</v>
      </c>
      <c r="C2" s="2" t="inlineStr">
        <is>
          <t>MXN</t>
        </is>
      </c>
    </row>
    <row r="3">
      <c r="A3" s="2" t="inlineStr">
        <is>
          <t>Costo producto/proveedor</t>
        </is>
      </c>
      <c r="B3" s="2" t="n">
        <v>1500</v>
      </c>
      <c r="C3" s="2" t="inlineStr">
        <is>
          <t>MXN</t>
        </is>
      </c>
    </row>
    <row r="4">
      <c r="A4" s="2" t="inlineStr">
        <is>
          <t>Pasarela %</t>
        </is>
      </c>
      <c r="B4" s="2" t="n">
        <v>0.04</v>
      </c>
      <c r="C4" s="2" t="inlineStr">
        <is>
          <t>Porcentaje</t>
        </is>
      </c>
    </row>
    <row r="5">
      <c r="A5" s="2" t="inlineStr">
        <is>
          <t>Envío/subsidio</t>
        </is>
      </c>
      <c r="B5" s="2" t="n">
        <v>150</v>
      </c>
      <c r="C5" s="2" t="inlineStr">
        <is>
          <t>MXN</t>
        </is>
      </c>
    </row>
    <row r="6">
      <c r="A6" s="2" t="inlineStr">
        <is>
          <t>Costo adquisición</t>
        </is>
      </c>
      <c r="B6" s="2" t="n">
        <v>120</v>
      </c>
      <c r="C6" s="2" t="inlineStr">
        <is>
          <t>MXN</t>
        </is>
      </c>
    </row>
    <row r="7">
      <c r="A7" s="2" t="inlineStr">
        <is>
          <t>Reserva riesgo %</t>
        </is>
      </c>
      <c r="B7" s="2" t="n">
        <v>0.05</v>
      </c>
      <c r="C7" s="2" t="inlineStr">
        <is>
          <t>Porcentaje</t>
        </is>
      </c>
    </row>
    <row r="8">
      <c r="A8" s="2" t="inlineStr">
        <is>
          <t>Ventas mensuales estimadas</t>
        </is>
      </c>
      <c r="B8" s="2" t="n">
        <v>40</v>
      </c>
      <c r="C8" s="2" t="inlineStr">
        <is>
          <t>Unidades</t>
        </is>
      </c>
    </row>
    <row r="9">
      <c r="A9" s="2" t="inlineStr">
        <is>
          <t>Mensualidad cobrada al cliente</t>
        </is>
      </c>
      <c r="B9" s="2" t="n">
        <v>12000</v>
      </c>
      <c r="C9" s="2" t="inlineStr">
        <is>
          <t>MXN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Concepto</t>
        </is>
      </c>
      <c r="B1" s="1" t="inlineStr">
        <is>
          <t>Valor</t>
        </is>
      </c>
      <c r="C1" s="1" t="inlineStr">
        <is>
          <t>Notas</t>
        </is>
      </c>
    </row>
    <row r="2">
      <c r="A2" s="2" t="inlineStr">
        <is>
          <t>Comisión Allan/Be Global %</t>
        </is>
      </c>
      <c r="B2" s="2" t="n">
        <v>0.1</v>
      </c>
      <c r="C2" s="2" t="inlineStr">
        <is>
          <t>Sobre utilidad neta, no venta bruta</t>
        </is>
      </c>
    </row>
    <row r="3">
      <c r="A3" s="2" t="inlineStr">
        <is>
          <t>Base</t>
        </is>
      </c>
      <c r="B3" s="2" t="n">
        <v>0.1</v>
      </c>
      <c r="C3" s="2" t="inlineStr">
        <is>
          <t>Aportación $35,000</t>
        </is>
      </c>
    </row>
    <row r="4">
      <c r="A4" s="2" t="inlineStr">
        <is>
          <t>Crecimiento</t>
        </is>
      </c>
      <c r="B4" s="2" t="n">
        <v>0.15</v>
      </c>
      <c r="C4" s="2" t="inlineStr">
        <is>
          <t>Aportación $50,000</t>
        </is>
      </c>
    </row>
    <row r="5">
      <c r="A5" s="2" t="inlineStr">
        <is>
          <t>Crecimiento Plus</t>
        </is>
      </c>
      <c r="B5" s="2" t="n">
        <v>0.2</v>
      </c>
      <c r="C5" s="2" t="inlineStr">
        <is>
          <t>Aportación $75,000</t>
        </is>
      </c>
    </row>
    <row r="6">
      <c r="A6" s="2" t="inlineStr">
        <is>
          <t>Premium</t>
        </is>
      </c>
      <c r="B6" s="2" t="n">
        <v>0.25</v>
      </c>
      <c r="C6" s="2" t="inlineStr">
        <is>
          <t>Aportación $100,000 o negociada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Escenario</t>
        </is>
      </c>
      <c r="B1" s="1" t="inlineStr">
        <is>
          <t>Ventas</t>
        </is>
      </c>
      <c r="C1" s="1" t="inlineStr">
        <is>
          <t>Utilidad mensual</t>
        </is>
      </c>
      <c r="D1" s="1" t="inlineStr">
        <is>
          <t>Comisión mensual</t>
        </is>
      </c>
      <c r="E1" s="1" t="inlineStr">
        <is>
          <t>Lectura</t>
        </is>
      </c>
    </row>
    <row r="2">
      <c r="A2" s="2" t="inlineStr">
        <is>
          <t>Conservador</t>
        </is>
      </c>
      <c r="B2" s="2">
        <f>Ventas!B8*0.6</f>
        <v/>
      </c>
      <c r="C2" s="2">
        <f>Resumen ejecutivo!B6*B2+Ventas!B9-Resumen ejecutivo!B5</f>
        <v/>
      </c>
      <c r="D2" s="2">
        <f>Resumen ejecutivo!B7*B2</f>
        <v/>
      </c>
      <c r="E2" s="2">
        <f>IF(C2&gt;0,"Rentable","No rentable")</f>
        <v/>
      </c>
    </row>
    <row r="3">
      <c r="A3" s="2" t="inlineStr">
        <is>
          <t>Base</t>
        </is>
      </c>
      <c r="B3" s="2">
        <f>Ventas!B8</f>
        <v/>
      </c>
      <c r="C3" s="2">
        <f>Resumen ejecutivo!B8</f>
        <v/>
      </c>
      <c r="D3" s="2">
        <f>Resumen ejecutivo!B7*B3</f>
        <v/>
      </c>
      <c r="E3" s="2">
        <f>IF(C3&gt;0,"Rentable","No rentable")</f>
        <v/>
      </c>
    </row>
    <row r="4">
      <c r="A4" s="2" t="inlineStr">
        <is>
          <t>Agresivo</t>
        </is>
      </c>
      <c r="B4" s="2">
        <f>Ventas!B8*1.6</f>
        <v/>
      </c>
      <c r="C4" s="2">
        <f>Resumen ejecutivo!B6*B4+Ventas!B9-Resumen ejecutivo!B5</f>
        <v/>
      </c>
      <c r="D4" s="2">
        <f>Resumen ejecutivo!B7*B4</f>
        <v/>
      </c>
      <c r="E4" s="2">
        <f>IF(C4&gt;0,"Rentable","No rentable")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2026-07-21T13:35:35Z</dcterms:created>
  <dcterms:modified xmlns:dcterms="http://purl.org/dc/terms/" xmlns:xsi="http://www.w3.org/2001/XMLSchema-instance" xsi:type="dcterms:W3CDTF">2026-07-21T13:35:35Z</dcterms:modified>
</cp:coreProperties>
</file>